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18717\Documents\GitHub\luyao.github.io\article\"/>
    </mc:Choice>
  </mc:AlternateContent>
  <xr:revisionPtr revIDLastSave="0" documentId="13_ncr:1_{588D2197-D161-4FAD-A8BB-735D679547D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1、收入结余表" sheetId="2" r:id="rId1"/>
    <sheet name="2、存量资产-y" sheetId="3" r:id="rId2"/>
    <sheet name="3、存量资产-k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2" l="1"/>
  <c r="N6" i="2"/>
  <c r="G6" i="7"/>
  <c r="G4" i="7"/>
  <c r="G3" i="7"/>
  <c r="G2" i="7"/>
  <c r="G16" i="3"/>
  <c r="N5" i="2"/>
  <c r="P5" i="2" s="1"/>
  <c r="F2" i="7"/>
  <c r="F6" i="7"/>
  <c r="F4" i="7"/>
  <c r="F5" i="7" s="1"/>
  <c r="F20" i="3"/>
  <c r="B20" i="3"/>
  <c r="C8" i="7"/>
  <c r="C6" i="7"/>
  <c r="C3" i="7"/>
  <c r="C2" i="7"/>
  <c r="N8" i="2"/>
  <c r="N9" i="2"/>
  <c r="N10" i="2"/>
  <c r="N11" i="2"/>
  <c r="N12" i="2"/>
  <c r="D12" i="7"/>
  <c r="D13" i="7" s="1"/>
  <c r="E12" i="7"/>
  <c r="H12" i="7"/>
  <c r="I12" i="7"/>
  <c r="J12" i="7"/>
  <c r="J13" i="7" s="1"/>
  <c r="K12" i="7"/>
  <c r="K13" i="7" s="1"/>
  <c r="L12" i="7"/>
  <c r="L13" i="7" s="1"/>
  <c r="M12" i="7"/>
  <c r="E13" i="7"/>
  <c r="H13" i="7"/>
  <c r="I13" i="7"/>
  <c r="M13" i="7"/>
  <c r="D8" i="7"/>
  <c r="E8" i="7"/>
  <c r="F8" i="7"/>
  <c r="G8" i="7"/>
  <c r="H8" i="7"/>
  <c r="I8" i="7"/>
  <c r="J8" i="7"/>
  <c r="K8" i="7"/>
  <c r="L8" i="7"/>
  <c r="M8" i="7"/>
  <c r="C5" i="7"/>
  <c r="D5" i="7"/>
  <c r="E5" i="7"/>
  <c r="G5" i="7"/>
  <c r="H5" i="7"/>
  <c r="I5" i="7"/>
  <c r="J5" i="7"/>
  <c r="K5" i="7"/>
  <c r="L5" i="7"/>
  <c r="M5" i="7"/>
  <c r="B13" i="7"/>
  <c r="B12" i="7"/>
  <c r="B8" i="7"/>
  <c r="B6" i="7"/>
  <c r="B5" i="7"/>
  <c r="B3" i="7"/>
  <c r="B2" i="7"/>
  <c r="C20" i="3"/>
  <c r="D20" i="3"/>
  <c r="E20" i="3"/>
  <c r="G20" i="3"/>
  <c r="H20" i="3"/>
  <c r="I20" i="3"/>
  <c r="J20" i="3"/>
  <c r="K20" i="3"/>
  <c r="L20" i="3"/>
  <c r="M20" i="3"/>
  <c r="B23" i="3"/>
  <c r="C16" i="3"/>
  <c r="D16" i="3"/>
  <c r="E16" i="3"/>
  <c r="F16" i="3"/>
  <c r="H16" i="3"/>
  <c r="I16" i="3"/>
  <c r="J16" i="3"/>
  <c r="K16" i="3"/>
  <c r="L16" i="3"/>
  <c r="M16" i="3"/>
  <c r="B16" i="3"/>
  <c r="J24" i="3"/>
  <c r="M23" i="3"/>
  <c r="L23" i="3"/>
  <c r="K23" i="3"/>
  <c r="J23" i="3"/>
  <c r="I23" i="3"/>
  <c r="H23" i="3"/>
  <c r="G23" i="3"/>
  <c r="F23" i="3"/>
  <c r="E23" i="3"/>
  <c r="D23" i="3"/>
  <c r="C23" i="3"/>
  <c r="D24" i="3"/>
  <c r="D25" i="3" s="1"/>
  <c r="G12" i="7" l="1"/>
  <c r="G13" i="7" s="1"/>
  <c r="F12" i="7"/>
  <c r="F13" i="7" s="1"/>
  <c r="B24" i="3"/>
  <c r="B25" i="3" s="1"/>
  <c r="N3" i="2" s="1"/>
  <c r="P3" i="2" s="1"/>
  <c r="C12" i="7"/>
  <c r="C13" i="7" s="1"/>
  <c r="F24" i="3"/>
  <c r="F25" i="3" s="1"/>
  <c r="G24" i="3"/>
  <c r="G25" i="3" s="1"/>
  <c r="L24" i="3"/>
  <c r="L25" i="3" s="1"/>
  <c r="E24" i="3"/>
  <c r="M24" i="3"/>
  <c r="M25" i="3" s="1"/>
  <c r="H24" i="3"/>
  <c r="H25" i="3" s="1"/>
  <c r="K24" i="3"/>
  <c r="K25" i="3" s="1"/>
  <c r="C24" i="3"/>
  <c r="C25" i="3" s="1"/>
  <c r="N4" i="2" s="1"/>
  <c r="P4" i="2" s="1"/>
  <c r="J25" i="3"/>
  <c r="I24" i="3"/>
  <c r="I25" i="3" s="1"/>
  <c r="E25" i="3"/>
  <c r="K13" i="2" l="1"/>
  <c r="I13" i="2"/>
  <c r="H13" i="2"/>
  <c r="G13" i="2"/>
  <c r="F13" i="2"/>
  <c r="E13" i="2"/>
  <c r="D13" i="2"/>
  <c r="C13" i="2"/>
  <c r="L13" i="2" l="1"/>
  <c r="J13" i="2"/>
  <c r="E14" i="2" s="1"/>
  <c r="J14" i="2" l="1"/>
  <c r="I14" i="2"/>
  <c r="H14" i="2"/>
  <c r="C14" i="2"/>
  <c r="D14" i="2"/>
  <c r="M13" i="2"/>
  <c r="G14" i="2"/>
  <c r="F14" i="2"/>
  <c r="M14" i="2"/>
</calcChain>
</file>

<file path=xl/sharedStrings.xml><?xml version="1.0" encoding="utf-8"?>
<sst xmlns="http://schemas.openxmlformats.org/spreadsheetml/2006/main" count="55" uniqueCount="44">
  <si>
    <t>业绩奖金</t>
  </si>
  <si>
    <t>年终奖</t>
  </si>
  <si>
    <t>存款利息</t>
  </si>
  <si>
    <t>投资收益</t>
  </si>
  <si>
    <t>副业收入</t>
  </si>
  <si>
    <t>总收入</t>
  </si>
  <si>
    <t>总支出</t>
  </si>
  <si>
    <t>储蓄率</t>
  </si>
  <si>
    <t>工资</t>
  </si>
  <si>
    <t>其他</t>
  </si>
  <si>
    <t>结余</t>
  </si>
  <si>
    <t>总结余</t>
  </si>
  <si>
    <t>合计</t>
  </si>
  <si>
    <t>比例</t>
  </si>
  <si>
    <t>公积金</t>
  </si>
  <si>
    <t>房屋贷款</t>
  </si>
  <si>
    <t>车贷</t>
  </si>
  <si>
    <t>贷款总计</t>
  </si>
  <si>
    <t>资产总计</t>
  </si>
  <si>
    <t>净资产</t>
  </si>
  <si>
    <t>海通</t>
    <phoneticPr fontId="11" type="noConversion"/>
  </si>
  <si>
    <t>富钱包</t>
    <phoneticPr fontId="11" type="noConversion"/>
  </si>
  <si>
    <t>兴业银行</t>
    <phoneticPr fontId="11" type="noConversion"/>
  </si>
  <si>
    <t>招商</t>
    <phoneticPr fontId="11" type="noConversion"/>
  </si>
  <si>
    <t>广发</t>
    <phoneticPr fontId="11" type="noConversion"/>
  </si>
  <si>
    <t>支付宝</t>
    <phoneticPr fontId="11" type="noConversion"/>
  </si>
  <si>
    <t>微信</t>
    <phoneticPr fontId="11" type="noConversion"/>
  </si>
  <si>
    <t>工商</t>
    <phoneticPr fontId="11" type="noConversion"/>
  </si>
  <si>
    <t>补充</t>
  </si>
  <si>
    <t>农行</t>
  </si>
  <si>
    <t>账户类型</t>
    <phoneticPr fontId="10" type="noConversion"/>
  </si>
  <si>
    <t>人民币现金</t>
  </si>
  <si>
    <t>人民币基金</t>
  </si>
  <si>
    <t>个人养老金</t>
  </si>
  <si>
    <t>温州</t>
    <phoneticPr fontId="11" type="noConversion"/>
  </si>
  <si>
    <t>稠州</t>
    <phoneticPr fontId="11" type="noConversion"/>
  </si>
  <si>
    <t>目标完成率</t>
    <phoneticPr fontId="10" type="noConversion"/>
  </si>
  <si>
    <t>易方达</t>
    <phoneticPr fontId="11" type="noConversion"/>
  </si>
  <si>
    <t>鹏华</t>
    <phoneticPr fontId="11" type="noConversion"/>
  </si>
  <si>
    <t>华安</t>
    <phoneticPr fontId="11" type="noConversion"/>
  </si>
  <si>
    <t>汇添富</t>
    <phoneticPr fontId="11" type="noConversion"/>
  </si>
  <si>
    <t>美元资产</t>
    <phoneticPr fontId="10" type="noConversion"/>
  </si>
  <si>
    <t>目标值</t>
    <phoneticPr fontId="10" type="noConversion"/>
  </si>
  <si>
    <t xml:space="preserve">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</si>
</sst>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&quot;月&quot;"/>
    <numFmt numFmtId="178" formatCode="0.0%"/>
  </numFmts>
  <fonts count="14">
    <font>
      <sz val="10"/>
      <color indexed="8"/>
      <name val="Helvetica Neue"/>
      <charset val="134"/>
    </font>
    <font>
      <b/>
      <sz val="11"/>
      <color indexed="8"/>
      <name val="Helvetica Neue"/>
      <family val="2"/>
      <scheme val="minor"/>
    </font>
    <font>
      <sz val="11"/>
      <color indexed="8"/>
      <name val="Helvetica Neue"/>
      <family val="2"/>
      <scheme val="minor"/>
    </font>
    <font>
      <b/>
      <sz val="11"/>
      <color indexed="8"/>
      <name val="Helvetica Neue"/>
      <family val="2"/>
    </font>
    <font>
      <b/>
      <sz val="11"/>
      <name val="Helvetica Neue"/>
      <family val="2"/>
      <scheme val="minor"/>
    </font>
    <font>
      <sz val="11"/>
      <name val="Helvetica Neue"/>
      <family val="2"/>
      <scheme val="minor"/>
    </font>
    <font>
      <sz val="10"/>
      <name val="Helvetica Neue"/>
      <family val="2"/>
    </font>
    <font>
      <b/>
      <sz val="11"/>
      <color indexed="27"/>
      <name val="Helvetica Neue"/>
      <family val="2"/>
    </font>
    <font>
      <b/>
      <sz val="13"/>
      <color indexed="28"/>
      <name val="Helvetica Neue"/>
      <family val="2"/>
    </font>
    <font>
      <b/>
      <sz val="13"/>
      <color indexed="27"/>
      <name val="Helvetica Neue"/>
      <family val="2"/>
    </font>
    <font>
      <sz val="9"/>
      <name val="Helvetica Neue"/>
      <family val="2"/>
    </font>
    <font>
      <sz val="9"/>
      <name val="Helvetica Neue"/>
      <family val="2"/>
      <charset val="134"/>
      <scheme val="minor"/>
    </font>
    <font>
      <b/>
      <sz val="11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>
      <alignment vertical="top" wrapText="1"/>
    </xf>
    <xf numFmtId="0" fontId="3" fillId="5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10" fontId="3" fillId="9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8" fontId="9" fillId="4" borderId="1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top" wrapText="1"/>
    </xf>
    <xf numFmtId="0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" fontId="0" fillId="0" borderId="0" xfId="0" applyNumberFormat="1">
      <alignment vertical="top" wrapText="1"/>
    </xf>
    <xf numFmtId="49" fontId="12" fillId="2" borderId="1" xfId="0" applyNumberFormat="1" applyFont="1" applyFill="1" applyBorder="1" applyAlignment="1">
      <alignment horizontal="center" vertical="center" wrapText="1"/>
    </xf>
    <xf numFmtId="1" fontId="8" fillId="3" borderId="0" xfId="0" applyNumberFormat="1" applyFont="1" applyFill="1" applyBorder="1" applyAlignment="1">
      <alignment horizontal="center" vertical="center" wrapText="1"/>
    </xf>
    <xf numFmtId="1" fontId="8" fillId="4" borderId="0" xfId="0" applyNumberFormat="1" applyFont="1" applyFill="1" applyBorder="1" applyAlignment="1">
      <alignment horizontal="center" vertical="center" wrapText="1"/>
    </xf>
    <xf numFmtId="10" fontId="3" fillId="9" borderId="0" xfId="0" applyNumberFormat="1" applyFont="1" applyFill="1" applyBorder="1" applyAlignment="1">
      <alignment horizontal="center" vertical="center" wrapText="1"/>
    </xf>
    <xf numFmtId="49" fontId="13" fillId="5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EFFFE"/>
      <rgbColor rgb="0060D837"/>
      <rgbColor rgb="00C8C8C8"/>
      <rgbColor rgb="0089847F"/>
      <rgbColor rgb="00F7F7F6"/>
      <rgbColor rgb="00ECECEA"/>
      <rgbColor rgb="00FF2500"/>
      <rgbColor rgb="0000A2FF"/>
      <rgbColor rgb="00919191"/>
      <rgbColor rgb="00F8BA00"/>
      <rgbColor rgb="00FE2500"/>
      <rgbColor rgb="0022AEFF"/>
      <rgbColor rgb="0073DD4D"/>
      <rgbColor rgb="00A0A0A0"/>
      <rgbColor rgb="00F9C321"/>
      <rgbColor rgb="00FDAD00"/>
      <rgbColor rgb="00FF9300"/>
      <rgbColor rgb="00D5D5D5"/>
      <rgbColor rgb="00ED220B"/>
      <rgbColor rgb="000075B9"/>
      <rgbColor rgb="00FFF056"/>
      <rgbColor rgb="0072FCE9"/>
      <rgbColor rgb="00B8B8B8"/>
      <rgbColor rgb="00FFD931"/>
      <rgbColor rgb="00FDAD00"/>
      <rgbColor rgb="00F27100"/>
      <rgbColor rgb="00BDC0BF"/>
      <rgbColor rgb="00DBDBDB"/>
      <rgbColor rgb="00F4F4F4"/>
      <rgbColor rgb="00004C7F"/>
      <rgbColor rgb="00D31876"/>
      <rgbColor rgb="00960D52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5800000000001"/>
          <c:y val="0.118343"/>
          <c:w val="0.71168299999999995"/>
          <c:h val="0.86915699999999996"/>
        </c:manualLayout>
      </c:layout>
      <c:pieChart>
        <c:varyColors val="0"/>
        <c:ser>
          <c:idx val="0"/>
          <c:order val="0"/>
          <c:tx>
            <c:strRef>
              <c:f>'1、收入结余表'!$B$13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Pt>
            <c:idx val="1"/>
            <c:bubble3D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95-493C-A0F8-508BC2C97CBD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95-493C-A0F8-508BC2C97CBD}"/>
              </c:ext>
            </c:extLst>
          </c:dPt>
          <c:dPt>
            <c:idx val="3"/>
            <c:bubble3D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95-493C-A0F8-508BC2C97CBD}"/>
              </c:ext>
            </c:extLst>
          </c:dPt>
          <c:dPt>
            <c:idx val="4"/>
            <c:bubble3D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95-493C-A0F8-508BC2C97CBD}"/>
              </c:ext>
            </c:extLst>
          </c:dPt>
          <c:dPt>
            <c:idx val="5"/>
            <c:bubble3D val="0"/>
            <c:spPr>
              <a:solidFill>
                <a:schemeClr val="accent6">
                  <a:satOff val="-20752"/>
                  <a:lumOff val="-16736"/>
                </a:schemeClr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95-493C-A0F8-508BC2C97CBD}"/>
              </c:ext>
            </c:extLst>
          </c:dPt>
          <c:dPt>
            <c:idx val="6"/>
            <c:bubble3D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E95-493C-A0F8-508BC2C97CBD}"/>
              </c:ext>
            </c:extLst>
          </c:dPt>
          <c:dLbls>
            <c:dLbl>
              <c:idx val="0"/>
              <c:layout>
                <c:manualLayout>
                  <c:x val="-3.8676886798889698E-2"/>
                  <c:y val="0.1212478268926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95-493C-A0F8-508BC2C97CBD}"/>
                </c:ext>
              </c:extLst>
            </c:dLbl>
            <c:dLbl>
              <c:idx val="1"/>
              <c:layout>
                <c:manualLayout>
                  <c:x val="-0.17360009934470699"/>
                  <c:y val="-5.58856103066404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95-493C-A0F8-508BC2C97CBD}"/>
                </c:ext>
              </c:extLst>
            </c:dLbl>
            <c:dLbl>
              <c:idx val="2"/>
              <c:layout>
                <c:manualLayout>
                  <c:x val="0.14479195380653101"/>
                  <c:y val="-0.11254225188150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95-493C-A0F8-508BC2C97CBD}"/>
                </c:ext>
              </c:extLst>
            </c:dLbl>
            <c:dLbl>
              <c:idx val="3"/>
              <c:layout>
                <c:manualLayout>
                  <c:x val="0.15156754484840401"/>
                  <c:y val="8.297105396940809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95-493C-A0F8-508BC2C97CBD}"/>
                </c:ext>
              </c:extLst>
            </c:dLbl>
            <c:dLbl>
              <c:idx val="4"/>
              <c:layout>
                <c:manualLayout>
                  <c:x val="7.9596762381470898E-2"/>
                  <c:y val="9.871349008946740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95-493C-A0F8-508BC2C97CBD}"/>
                </c:ext>
              </c:extLst>
            </c:dLbl>
            <c:dLbl>
              <c:idx val="5"/>
              <c:layout>
                <c:manualLayout>
                  <c:x val="7.6711944927370102E-2"/>
                  <c:y val="0.11233773899757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95-493C-A0F8-508BC2C97CBD}"/>
                </c:ext>
              </c:extLst>
            </c:dLbl>
            <c:dLbl>
              <c:idx val="6"/>
              <c:layout>
                <c:manualLayout>
                  <c:x val="3.3558405499257198E-2"/>
                  <c:y val="0.11581420522728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95-493C-A0F8-508BC2C97CBD}"/>
                </c:ext>
              </c:extLst>
            </c:dLbl>
            <c:numFmt formatCode="#,##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FFFFFF"/>
                    </a:solidFill>
                    <a:latin typeface="Helvetica Neue" panose="02000503000000020004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'1、收入结余表'!$C$2:$I$2</c:f>
              <c:strCache>
                <c:ptCount val="7"/>
                <c:pt idx="0">
                  <c:v>年终奖</c:v>
                </c:pt>
                <c:pt idx="1">
                  <c:v>工资</c:v>
                </c:pt>
                <c:pt idx="2">
                  <c:v>业绩奖金</c:v>
                </c:pt>
                <c:pt idx="3">
                  <c:v>副业收入</c:v>
                </c:pt>
                <c:pt idx="4">
                  <c:v>存款利息</c:v>
                </c:pt>
                <c:pt idx="5">
                  <c:v>投资收益</c:v>
                </c:pt>
                <c:pt idx="6">
                  <c:v>其他</c:v>
                </c:pt>
              </c:strCache>
            </c:strRef>
          </c:cat>
          <c:val>
            <c:numRef>
              <c:f>'1、收入结余表'!$C$13:$I$13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95-493C-A0F8-508BC2C97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6.9285399999999997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Helvetica Neue" panose="02000503000000020004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9799999999999"/>
          <c:y val="0.14124800000000001"/>
          <c:w val="0.80899927585070697"/>
          <c:h val="0.75869900000000001"/>
        </c:manualLayout>
      </c:layout>
      <c:lineChart>
        <c:grouping val="standard"/>
        <c:varyColors val="0"/>
        <c:ser>
          <c:idx val="0"/>
          <c:order val="0"/>
          <c:tx>
            <c:strRef>
              <c:f>'1、收入结余表'!$N$2</c:f>
              <c:strCache>
                <c:ptCount val="1"/>
                <c:pt idx="0">
                  <c:v>总结余</c:v>
                </c:pt>
              </c:strCache>
            </c:strRef>
          </c:tx>
          <c:spPr>
            <a:ln w="50800" cap="flat" cmpd="sng" algn="ctr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</c:marker>
          <c:cat>
            <c:numRef>
              <c:f>'1、收入结余表'!$B$3:$B$12</c:f>
              <c:numCache>
                <c:formatCode>m"月"</c:formatCode>
                <c:ptCount val="10"/>
                <c:pt idx="0">
                  <c:v>44562</c:v>
                </c:pt>
                <c:pt idx="1">
                  <c:v>44593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'1、收入结余表'!$N$3:$N$12</c:f>
              <c:numCache>
                <c:formatCode>0</c:formatCode>
                <c:ptCount val="10"/>
                <c:pt idx="0">
                  <c:v>5940295.1699999999</c:v>
                </c:pt>
                <c:pt idx="1">
                  <c:v>7124085.7999999998</c:v>
                </c:pt>
                <c:pt idx="2">
                  <c:v>7516913.29</c:v>
                </c:pt>
                <c:pt idx="3">
                  <c:v>8012723.4869999997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E-4722-8D0A-564A50135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dateAx>
        <c:axId val="209473455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custDash>
                <a:ds d="100000" sp="200000"/>
              </a:custDash>
              <a:miter lim="400000"/>
            </a:ln>
          </c:spPr>
        </c:majorGridlines>
        <c:numFmt formatCode="m&quot;月&quot;" sourceLinked="1"/>
        <c:majorTickMark val="none"/>
        <c:minorTickMark val="none"/>
        <c:tickLblPos val="low"/>
        <c:spPr>
          <a:ln w="12700" cap="flat" cmpd="sng" algn="ctr">
            <a:solidFill>
              <a:srgbClr val="000000"/>
            </a:solidFill>
            <a:prstDash val="solid"/>
            <a:miter lim="400000"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Helvetica Neue" panose="02000503000000020004"/>
                <a:ea typeface="+mn-ea"/>
                <a:cs typeface="+mn-cs"/>
              </a:defRPr>
            </a:pPr>
            <a:endParaRPr lang="zh-CN"/>
          </a:p>
        </c:txPr>
        <c:crossAx val="2094734553"/>
        <c:crosses val="autoZero"/>
        <c:auto val="1"/>
        <c:lblOffset val="100"/>
        <c:baseTimeUnit val="months"/>
      </c:dateAx>
      <c:valAx>
        <c:axId val="209473455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8B8B8"/>
              </a:solidFill>
              <a:prstDash val="solid"/>
              <a:miter lim="400000"/>
            </a:ln>
          </c:spPr>
        </c:majorGridlines>
        <c:numFmt formatCode="0" sourceLinked="1"/>
        <c:majorTickMark val="none"/>
        <c:minorTickMark val="none"/>
        <c:tickLblPos val="nextTo"/>
        <c:spPr>
          <a:ln w="12700" cap="flat" cmpd="sng" algn="ctr">
            <a:solidFill>
              <a:srgbClr val="000000"/>
            </a:solidFill>
            <a:prstDash val="solid"/>
            <a:miter lim="400000"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Helvetica Neue" panose="02000503000000020004"/>
                <a:ea typeface="+mn-ea"/>
                <a:cs typeface="+mn-cs"/>
              </a:defRPr>
            </a:pPr>
            <a:endParaRPr lang="zh-CN"/>
          </a:p>
        </c:txPr>
        <c:crossAx val="2094734552"/>
        <c:crosses val="autoZero"/>
        <c:crossBetween val="midCat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0803400000000001"/>
          <c:y val="0"/>
          <c:w val="0.88727199999999995"/>
          <c:h val="9.1127299999999994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latin typeface="Helvetica Neue" panose="02000503000000020004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201241</xdr:rowOff>
    </xdr:from>
    <xdr:to>
      <xdr:col>8</xdr:col>
      <xdr:colOff>20755</xdr:colOff>
      <xdr:row>30</xdr:row>
      <xdr:rowOff>238125</xdr:rowOff>
    </xdr:to>
    <xdr:graphicFrame macro="">
      <xdr:nvGraphicFramePr>
        <xdr:cNvPr id="6" name="二维饼图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15</xdr:row>
      <xdr:rowOff>12163</xdr:rowOff>
    </xdr:from>
    <xdr:to>
      <xdr:col>15</xdr:col>
      <xdr:colOff>285751</xdr:colOff>
      <xdr:row>30</xdr:row>
      <xdr:rowOff>59114</xdr:rowOff>
    </xdr:to>
    <xdr:graphicFrame macro="">
      <xdr:nvGraphicFramePr>
        <xdr:cNvPr id="7" name="二维折线图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21_Simple_Budget">
  <a:themeElements>
    <a:clrScheme name="21_Simple_Budge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Simple_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Simple_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14"/>
  <sheetViews>
    <sheetView showGridLines="0" tabSelected="1" zoomScaleNormal="100" workbookViewId="0">
      <pane ySplit="2" topLeftCell="A3" activePane="bottomLeft" state="frozen"/>
      <selection pane="bottomLeft" activeCell="R10" sqref="R10"/>
    </sheetView>
  </sheetViews>
  <sheetFormatPr defaultColWidth="16.36328125" defaultRowHeight="19.899999999999999" customHeight="1"/>
  <cols>
    <col min="1" max="1" width="2" style="1" customWidth="1"/>
    <col min="2" max="2" width="7.6328125" style="1" customWidth="1"/>
    <col min="3" max="6" width="9.1796875" style="1" customWidth="1"/>
    <col min="7" max="7" width="9.54296875" style="1" customWidth="1"/>
    <col min="8" max="10" width="9.1796875" style="1" customWidth="1"/>
    <col min="11" max="15" width="10.1796875" style="1" customWidth="1"/>
    <col min="16" max="16" width="16.36328125" style="1" customWidth="1"/>
    <col min="17" max="16384" width="16.36328125" style="1"/>
  </cols>
  <sheetData>
    <row r="1" spans="2:17" ht="20.25" customHeight="1"/>
    <row r="2" spans="2:17" ht="25" customHeight="1">
      <c r="B2" s="16">
        <v>2026</v>
      </c>
      <c r="C2" s="2" t="s">
        <v>1</v>
      </c>
      <c r="D2" s="2" t="s">
        <v>8</v>
      </c>
      <c r="E2" s="2" t="s">
        <v>0</v>
      </c>
      <c r="F2" s="2" t="s">
        <v>4</v>
      </c>
      <c r="G2" s="2" t="s">
        <v>2</v>
      </c>
      <c r="H2" s="2" t="s">
        <v>3</v>
      </c>
      <c r="I2" s="2" t="s">
        <v>9</v>
      </c>
      <c r="J2" s="2" t="s">
        <v>5</v>
      </c>
      <c r="K2" s="2" t="s">
        <v>6</v>
      </c>
      <c r="L2" s="2" t="s">
        <v>10</v>
      </c>
      <c r="M2" s="2" t="s">
        <v>7</v>
      </c>
      <c r="N2" s="2" t="s">
        <v>11</v>
      </c>
      <c r="O2" s="39" t="s">
        <v>42</v>
      </c>
      <c r="P2" s="30" t="s">
        <v>36</v>
      </c>
    </row>
    <row r="3" spans="2:17" ht="24.65" customHeight="1">
      <c r="B3" s="17">
        <v>44562</v>
      </c>
      <c r="C3" s="18"/>
      <c r="D3" s="18"/>
      <c r="E3" s="18"/>
      <c r="F3" s="18"/>
      <c r="G3" s="18"/>
      <c r="H3" s="18"/>
      <c r="I3" s="23"/>
      <c r="J3" s="18"/>
      <c r="K3" s="24"/>
      <c r="L3" s="25"/>
      <c r="M3" s="28"/>
      <c r="N3" s="25">
        <f>'2、存量资产-y'!B25+'3、存量资产-k'!B13</f>
        <v>5940295.1699999999</v>
      </c>
      <c r="O3" s="36">
        <v>6500000</v>
      </c>
      <c r="P3" s="31">
        <f>N3/O3</f>
        <v>0.91389156461538457</v>
      </c>
    </row>
    <row r="4" spans="2:17" ht="24.65" customHeight="1">
      <c r="B4" s="17">
        <v>44593</v>
      </c>
      <c r="C4" s="18"/>
      <c r="D4" s="18"/>
      <c r="E4" s="18"/>
      <c r="F4" s="18"/>
      <c r="G4" s="18"/>
      <c r="H4" s="18"/>
      <c r="I4" s="18"/>
      <c r="J4" s="18"/>
      <c r="K4" s="24"/>
      <c r="L4" s="25"/>
      <c r="M4" s="28"/>
      <c r="N4" s="25">
        <f>'2、存量资产-y'!C25+'3、存量资产-k'!C13</f>
        <v>7124085.7999999998</v>
      </c>
      <c r="O4" s="36">
        <v>8000000</v>
      </c>
      <c r="P4" s="31">
        <f>N4/O4</f>
        <v>0.89051072499999995</v>
      </c>
    </row>
    <row r="5" spans="2:17" ht="24.65" customHeight="1">
      <c r="B5" s="17">
        <v>44682</v>
      </c>
      <c r="C5" s="18"/>
      <c r="D5" s="18"/>
      <c r="E5" s="18"/>
      <c r="F5" s="18"/>
      <c r="G5" s="18"/>
      <c r="H5" s="18"/>
      <c r="I5" s="18"/>
      <c r="J5" s="18"/>
      <c r="K5" s="24"/>
      <c r="L5" s="25"/>
      <c r="M5" s="28"/>
      <c r="N5" s="25">
        <f>'2、存量资产-y'!F25+'3、存量资产-k'!F13</f>
        <v>7516913.29</v>
      </c>
      <c r="O5" s="36">
        <v>8000000</v>
      </c>
      <c r="P5" s="31">
        <f>N5/O5</f>
        <v>0.93961416124999997</v>
      </c>
    </row>
    <row r="6" spans="2:17" ht="24.65" customHeight="1">
      <c r="B6" s="17">
        <v>44713</v>
      </c>
      <c r="C6" s="18"/>
      <c r="D6" s="18"/>
      <c r="E6" s="18"/>
      <c r="F6" s="18"/>
      <c r="G6" s="18"/>
      <c r="H6" s="18"/>
      <c r="I6" s="18"/>
      <c r="J6" s="18"/>
      <c r="K6" s="24"/>
      <c r="L6" s="25"/>
      <c r="M6" s="28"/>
      <c r="N6" s="25">
        <f>'2、存量资产-y'!G25+'3、存量资产-k'!G13</f>
        <v>8012723.4869999997</v>
      </c>
      <c r="O6" s="36">
        <v>8000000</v>
      </c>
      <c r="P6" s="31">
        <f t="shared" ref="P6:P7" si="0">N6/O6</f>
        <v>1.0015904358750001</v>
      </c>
    </row>
    <row r="7" spans="2:17" ht="24.65" customHeight="1">
      <c r="B7" s="17">
        <v>44743</v>
      </c>
      <c r="C7" s="18"/>
      <c r="D7" s="18"/>
      <c r="E7" s="18"/>
      <c r="F7" s="18"/>
      <c r="G7" s="18"/>
      <c r="H7" s="18"/>
      <c r="I7" s="18"/>
      <c r="J7" s="18"/>
      <c r="K7" s="24"/>
      <c r="L7" s="25"/>
      <c r="M7" s="28"/>
      <c r="N7" s="25"/>
      <c r="O7" s="36"/>
      <c r="P7" s="31"/>
    </row>
    <row r="8" spans="2:17" ht="24.65" customHeight="1">
      <c r="B8" s="17">
        <v>44774</v>
      </c>
      <c r="C8" s="18"/>
      <c r="D8" s="18"/>
      <c r="E8" s="18"/>
      <c r="F8" s="18"/>
      <c r="G8" s="18"/>
      <c r="H8" s="18"/>
      <c r="I8" s="18"/>
      <c r="J8" s="18"/>
      <c r="K8" s="24"/>
      <c r="L8" s="25"/>
      <c r="M8" s="28"/>
      <c r="N8" s="25">
        <f>'2、存量资产-y'!B31+'3、存量资产-k'!B19</f>
        <v>0</v>
      </c>
      <c r="O8" s="36"/>
      <c r="P8" s="31"/>
    </row>
    <row r="9" spans="2:17" ht="24.65" customHeight="1">
      <c r="B9" s="17">
        <v>44805</v>
      </c>
      <c r="C9" s="18"/>
      <c r="D9" s="18"/>
      <c r="E9" s="18"/>
      <c r="F9" s="18"/>
      <c r="G9" s="18"/>
      <c r="H9" s="18"/>
      <c r="I9" s="18"/>
      <c r="J9" s="18"/>
      <c r="K9" s="24"/>
      <c r="L9" s="25"/>
      <c r="M9" s="28"/>
      <c r="N9" s="25">
        <f>'2、存量资产-y'!B32+'3、存量资产-k'!B20</f>
        <v>0</v>
      </c>
      <c r="O9" s="36"/>
      <c r="P9" s="31"/>
      <c r="Q9" s="34"/>
    </row>
    <row r="10" spans="2:17" ht="24.65" customHeight="1">
      <c r="B10" s="17">
        <v>44835</v>
      </c>
      <c r="C10" s="18"/>
      <c r="D10" s="18"/>
      <c r="E10" s="18"/>
      <c r="F10" s="18"/>
      <c r="G10" s="18"/>
      <c r="H10" s="18"/>
      <c r="I10" s="18"/>
      <c r="J10" s="18"/>
      <c r="K10" s="24"/>
      <c r="L10" s="25"/>
      <c r="M10" s="28"/>
      <c r="N10" s="25">
        <f>'2、存量资产-y'!B33+'3、存量资产-k'!B21</f>
        <v>0</v>
      </c>
      <c r="O10" s="36"/>
      <c r="P10" s="31"/>
    </row>
    <row r="11" spans="2:17" ht="24.65" customHeight="1">
      <c r="B11" s="17">
        <v>44866</v>
      </c>
      <c r="C11" s="18"/>
      <c r="D11" s="18"/>
      <c r="E11" s="18"/>
      <c r="F11" s="18"/>
      <c r="G11" s="18"/>
      <c r="H11" s="18"/>
      <c r="I11" s="18"/>
      <c r="J11" s="18"/>
      <c r="K11" s="24"/>
      <c r="L11" s="25"/>
      <c r="M11" s="28"/>
      <c r="N11" s="25">
        <f>'2、存量资产-y'!B34+'3、存量资产-k'!B22</f>
        <v>0</v>
      </c>
      <c r="O11" s="36"/>
      <c r="P11" s="31"/>
    </row>
    <row r="12" spans="2:17" ht="24.65" customHeight="1">
      <c r="B12" s="17">
        <v>44896</v>
      </c>
      <c r="C12" s="18"/>
      <c r="D12" s="18"/>
      <c r="E12" s="18"/>
      <c r="F12" s="18"/>
      <c r="G12" s="18"/>
      <c r="H12" s="18"/>
      <c r="I12" s="18"/>
      <c r="J12" s="18"/>
      <c r="K12" s="24"/>
      <c r="L12" s="25"/>
      <c r="M12" s="28"/>
      <c r="N12" s="25">
        <f>'2、存量资产-y'!B35+'3、存量资产-k'!B23</f>
        <v>0</v>
      </c>
      <c r="O12" s="36"/>
      <c r="P12" s="31"/>
    </row>
    <row r="13" spans="2:17" ht="25" customHeight="1">
      <c r="B13" s="19" t="s">
        <v>12</v>
      </c>
      <c r="C13" s="20">
        <f t="shared" ref="C13:L13" si="1">SUM(C3:C12)</f>
        <v>0</v>
      </c>
      <c r="D13" s="20">
        <f t="shared" si="1"/>
        <v>0</v>
      </c>
      <c r="E13" s="20">
        <f t="shared" si="1"/>
        <v>0</v>
      </c>
      <c r="F13" s="20">
        <f t="shared" si="1"/>
        <v>0</v>
      </c>
      <c r="G13" s="20">
        <f t="shared" si="1"/>
        <v>0</v>
      </c>
      <c r="H13" s="20">
        <f t="shared" si="1"/>
        <v>0</v>
      </c>
      <c r="I13" s="20">
        <f t="shared" si="1"/>
        <v>0</v>
      </c>
      <c r="J13" s="20">
        <f t="shared" si="1"/>
        <v>0</v>
      </c>
      <c r="K13" s="26">
        <f t="shared" si="1"/>
        <v>0</v>
      </c>
      <c r="L13" s="27">
        <f t="shared" si="1"/>
        <v>0</v>
      </c>
      <c r="M13" s="29" t="e">
        <f t="shared" ref="M13" si="2">L13/J13</f>
        <v>#DIV/0!</v>
      </c>
      <c r="N13" s="27"/>
      <c r="O13" s="37"/>
      <c r="P13" s="31"/>
    </row>
    <row r="14" spans="2:17" ht="25" customHeight="1">
      <c r="B14" s="21" t="s">
        <v>13</v>
      </c>
      <c r="C14" s="22" t="e">
        <f t="shared" ref="C14:J14" si="3">C13/$J13</f>
        <v>#DIV/0!</v>
      </c>
      <c r="D14" s="22" t="e">
        <f t="shared" si="3"/>
        <v>#DIV/0!</v>
      </c>
      <c r="E14" s="22" t="e">
        <f t="shared" si="3"/>
        <v>#DIV/0!</v>
      </c>
      <c r="F14" s="22" t="e">
        <f t="shared" si="3"/>
        <v>#DIV/0!</v>
      </c>
      <c r="G14" s="22" t="e">
        <f t="shared" si="3"/>
        <v>#DIV/0!</v>
      </c>
      <c r="H14" s="22" t="e">
        <f t="shared" si="3"/>
        <v>#DIV/0!</v>
      </c>
      <c r="I14" s="22" t="e">
        <f t="shared" si="3"/>
        <v>#DIV/0!</v>
      </c>
      <c r="J14" s="22" t="e">
        <f t="shared" si="3"/>
        <v>#DIV/0!</v>
      </c>
      <c r="K14" s="22"/>
      <c r="L14" s="22"/>
      <c r="M14" s="22" t="e">
        <f>N13/J13</f>
        <v>#DIV/0!</v>
      </c>
      <c r="N14" s="22"/>
      <c r="O14" s="38"/>
      <c r="P14" s="31"/>
    </row>
  </sheetData>
  <phoneticPr fontId="10" type="noConversion"/>
  <pageMargins left="1" right="1" top="1" bottom="1" header="0.25" footer="0.25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5"/>
  <sheetViews>
    <sheetView showGridLines="0" workbookViewId="0">
      <pane xSplit="1" ySplit="1" topLeftCell="B13" activePane="bottomRight" state="frozen"/>
      <selection pane="topRight"/>
      <selection pane="bottomLeft"/>
      <selection pane="bottomRight" activeCell="I18" sqref="I18"/>
    </sheetView>
  </sheetViews>
  <sheetFormatPr defaultColWidth="16.36328125" defaultRowHeight="19.899999999999999" customHeight="1"/>
  <cols>
    <col min="1" max="1" width="14.453125" style="1" customWidth="1"/>
    <col min="2" max="13" width="9.36328125" style="1" customWidth="1"/>
    <col min="14" max="14" width="16.36328125" style="1" customWidth="1"/>
    <col min="15" max="16384" width="16.36328125" style="1"/>
  </cols>
  <sheetData>
    <row r="1" spans="1:14" ht="21.65" customHeight="1">
      <c r="A1" s="3" t="s">
        <v>30</v>
      </c>
      <c r="B1" s="4">
        <v>2026.1</v>
      </c>
      <c r="C1" s="4">
        <v>2026.2</v>
      </c>
      <c r="D1" s="4">
        <v>2026.3</v>
      </c>
      <c r="E1" s="4">
        <v>2026.4</v>
      </c>
      <c r="F1" s="4">
        <v>2026.5</v>
      </c>
      <c r="G1" s="4">
        <v>2026.6</v>
      </c>
      <c r="H1" s="4">
        <v>2026.7</v>
      </c>
      <c r="I1" s="4">
        <v>2026.8</v>
      </c>
      <c r="J1" s="4">
        <v>2026.9</v>
      </c>
      <c r="K1" s="14">
        <v>2026.1</v>
      </c>
      <c r="L1" s="4">
        <v>2026.11</v>
      </c>
      <c r="M1" s="4">
        <v>2026.12</v>
      </c>
    </row>
    <row r="2" spans="1:14" ht="20.5" customHeight="1">
      <c r="A2" s="5" t="s">
        <v>20</v>
      </c>
      <c r="B2" s="6">
        <v>11501</v>
      </c>
      <c r="C2" s="6">
        <v>11724</v>
      </c>
      <c r="D2" s="6"/>
      <c r="E2" s="6"/>
      <c r="F2" s="6">
        <v>11830.94</v>
      </c>
      <c r="G2" s="32">
        <v>11832.74</v>
      </c>
      <c r="H2" s="6"/>
      <c r="I2" s="6"/>
      <c r="J2" s="6"/>
      <c r="K2" s="6"/>
      <c r="L2" s="6"/>
      <c r="M2" s="6"/>
      <c r="N2" s="15"/>
    </row>
    <row r="3" spans="1:14" ht="20.5" customHeight="1">
      <c r="A3" s="5" t="s">
        <v>21</v>
      </c>
      <c r="B3" s="6">
        <v>147022.85999999999</v>
      </c>
      <c r="C3" s="6">
        <v>137526</v>
      </c>
      <c r="D3" s="7"/>
      <c r="E3" s="7"/>
      <c r="F3" s="7">
        <v>136231.75</v>
      </c>
      <c r="G3" s="32">
        <v>134522</v>
      </c>
      <c r="H3" s="6"/>
      <c r="I3" s="7"/>
      <c r="J3" s="7"/>
      <c r="K3" s="7"/>
      <c r="L3" s="7"/>
      <c r="M3" s="7"/>
      <c r="N3" s="15"/>
    </row>
    <row r="4" spans="1:14" ht="20.5" customHeight="1">
      <c r="A4" s="5" t="s">
        <v>22</v>
      </c>
      <c r="B4" s="6"/>
      <c r="C4" s="6">
        <v>32584</v>
      </c>
      <c r="D4" s="6"/>
      <c r="E4" s="6"/>
      <c r="F4" s="6">
        <v>285165.96000000002</v>
      </c>
      <c r="G4" s="33">
        <v>284212</v>
      </c>
      <c r="H4" s="6"/>
      <c r="I4" s="6"/>
      <c r="J4" s="6"/>
      <c r="K4" s="6"/>
      <c r="L4" s="6"/>
      <c r="M4" s="6"/>
      <c r="N4" s="15"/>
    </row>
    <row r="5" spans="1:14" ht="20.5" customHeight="1">
      <c r="A5" s="5" t="s">
        <v>23</v>
      </c>
      <c r="B5" s="6">
        <v>8519.66</v>
      </c>
      <c r="C5" s="6">
        <v>988.8</v>
      </c>
      <c r="D5" s="7"/>
      <c r="E5" s="7"/>
      <c r="F5" s="7">
        <v>0</v>
      </c>
      <c r="G5" s="6">
        <v>10537</v>
      </c>
      <c r="H5" s="6"/>
      <c r="I5" s="7"/>
      <c r="J5" s="7"/>
      <c r="K5" s="7"/>
      <c r="L5" s="7"/>
      <c r="M5" s="6"/>
      <c r="N5" s="15"/>
    </row>
    <row r="6" spans="1:14" ht="20.5" customHeight="1">
      <c r="A6" s="5" t="s">
        <v>24</v>
      </c>
      <c r="B6" s="6">
        <v>112738.66</v>
      </c>
      <c r="C6" s="6">
        <v>142072</v>
      </c>
      <c r="D6" s="6"/>
      <c r="E6" s="6"/>
      <c r="F6" s="6">
        <v>225255</v>
      </c>
      <c r="G6" s="6">
        <v>219972</v>
      </c>
      <c r="H6" s="6"/>
      <c r="I6" s="6"/>
      <c r="J6" s="6"/>
      <c r="K6" s="6"/>
      <c r="L6" s="6"/>
      <c r="M6" s="6"/>
      <c r="N6" s="15"/>
    </row>
    <row r="7" spans="1:14" ht="20.5" customHeight="1">
      <c r="A7" s="5" t="s">
        <v>25</v>
      </c>
      <c r="B7" s="6">
        <v>32475.64</v>
      </c>
      <c r="C7" s="6">
        <v>32682</v>
      </c>
      <c r="D7" s="6"/>
      <c r="E7" s="6"/>
      <c r="F7" s="6">
        <v>29456.53</v>
      </c>
      <c r="G7" s="6">
        <v>29884</v>
      </c>
      <c r="H7" s="6"/>
      <c r="I7" s="6"/>
      <c r="J7" s="6"/>
      <c r="K7" s="6"/>
      <c r="L7" s="6"/>
      <c r="M7" s="6"/>
      <c r="N7" s="15"/>
    </row>
    <row r="8" spans="1:14" ht="20.5" customHeight="1">
      <c r="A8" s="5" t="s">
        <v>26</v>
      </c>
      <c r="B8" s="6"/>
      <c r="C8" s="6"/>
      <c r="D8" s="6"/>
      <c r="E8" s="6"/>
      <c r="F8" s="6">
        <v>1471</v>
      </c>
      <c r="G8" s="6">
        <v>993.73</v>
      </c>
      <c r="H8" s="6"/>
      <c r="I8" s="6"/>
      <c r="J8" s="6"/>
      <c r="K8" s="6"/>
      <c r="L8" s="6"/>
      <c r="M8" s="6"/>
      <c r="N8" s="15"/>
    </row>
    <row r="9" spans="1:14" ht="20.5" customHeight="1">
      <c r="A9" s="5" t="s">
        <v>27</v>
      </c>
      <c r="B9" s="6">
        <v>10749</v>
      </c>
      <c r="C9" s="6">
        <v>17075</v>
      </c>
      <c r="D9" s="6"/>
      <c r="E9" s="6"/>
      <c r="F9" s="6">
        <v>0</v>
      </c>
      <c r="G9" s="6">
        <v>0</v>
      </c>
      <c r="H9" s="6"/>
      <c r="I9" s="6"/>
      <c r="J9" s="6"/>
      <c r="K9" s="6"/>
      <c r="L9" s="6"/>
      <c r="M9" s="6"/>
      <c r="N9" s="15"/>
    </row>
    <row r="10" spans="1:14" ht="20.5" customHeight="1">
      <c r="A10" s="5" t="s">
        <v>34</v>
      </c>
      <c r="B10" s="6">
        <v>500000</v>
      </c>
      <c r="C10" s="6">
        <v>500000</v>
      </c>
      <c r="D10" s="6">
        <v>500000</v>
      </c>
      <c r="E10" s="6">
        <v>500000</v>
      </c>
      <c r="F10" s="6">
        <v>500000</v>
      </c>
      <c r="G10" s="6">
        <v>500000</v>
      </c>
      <c r="H10" s="6">
        <v>500000</v>
      </c>
      <c r="I10" s="6">
        <v>500000</v>
      </c>
      <c r="J10" s="6">
        <v>500000</v>
      </c>
      <c r="K10" s="6">
        <v>500000</v>
      </c>
      <c r="L10" s="6">
        <v>500000</v>
      </c>
      <c r="M10" s="6">
        <v>500000</v>
      </c>
      <c r="N10" s="15"/>
    </row>
    <row r="11" spans="1:14" ht="20.5" customHeight="1">
      <c r="A11" s="5" t="s">
        <v>35</v>
      </c>
      <c r="B11" s="6">
        <v>500000</v>
      </c>
      <c r="C11" s="6">
        <v>500000</v>
      </c>
      <c r="D11" s="6">
        <v>500000</v>
      </c>
      <c r="E11" s="6">
        <v>500000</v>
      </c>
      <c r="F11" s="6">
        <v>500000</v>
      </c>
      <c r="G11" s="6">
        <v>500000</v>
      </c>
      <c r="H11" s="6">
        <v>500000</v>
      </c>
      <c r="I11" s="6">
        <v>500000</v>
      </c>
      <c r="J11" s="6">
        <v>500000</v>
      </c>
      <c r="K11" s="6">
        <v>500000</v>
      </c>
      <c r="L11" s="6">
        <v>500000</v>
      </c>
      <c r="M11" s="6">
        <v>500000</v>
      </c>
      <c r="N11" s="15"/>
    </row>
    <row r="12" spans="1:14" ht="20.5" customHeight="1">
      <c r="A12" s="5" t="s">
        <v>37</v>
      </c>
      <c r="B12" s="6">
        <v>19988.490000000002</v>
      </c>
      <c r="C12" s="6">
        <v>19935</v>
      </c>
      <c r="D12" s="6"/>
      <c r="E12" s="6"/>
      <c r="F12" s="6">
        <v>19547.27</v>
      </c>
      <c r="G12" s="6">
        <v>19517</v>
      </c>
      <c r="H12" s="6"/>
      <c r="I12" s="6"/>
      <c r="J12" s="7"/>
      <c r="K12" s="6"/>
      <c r="L12" s="6"/>
      <c r="M12" s="6"/>
      <c r="N12" s="15"/>
    </row>
    <row r="13" spans="1:14" ht="20.5" customHeight="1">
      <c r="A13" s="5" t="s">
        <v>38</v>
      </c>
      <c r="B13" s="6">
        <v>368986.86</v>
      </c>
      <c r="C13" s="6">
        <v>367684</v>
      </c>
      <c r="D13" s="6"/>
      <c r="E13" s="6"/>
      <c r="F13" s="6">
        <v>361890.96</v>
      </c>
      <c r="G13" s="6">
        <v>362216</v>
      </c>
      <c r="H13" s="6"/>
      <c r="I13" s="6"/>
      <c r="J13" s="6"/>
      <c r="K13" s="6"/>
      <c r="L13" s="6"/>
      <c r="M13" s="6"/>
      <c r="N13" s="15"/>
    </row>
    <row r="14" spans="1:14" ht="20.5" customHeight="1">
      <c r="A14" s="5" t="s">
        <v>39</v>
      </c>
      <c r="B14" s="6">
        <v>32279</v>
      </c>
      <c r="C14" s="6">
        <v>32226</v>
      </c>
      <c r="D14" s="6"/>
      <c r="E14" s="6"/>
      <c r="F14" s="6">
        <v>31462</v>
      </c>
      <c r="G14" s="6">
        <v>31409</v>
      </c>
      <c r="H14" s="6"/>
      <c r="I14" s="6"/>
      <c r="J14" s="6"/>
      <c r="K14" s="6"/>
      <c r="L14" s="6"/>
      <c r="M14" s="6"/>
      <c r="N14" s="15"/>
    </row>
    <row r="15" spans="1:14" ht="20.5" customHeight="1">
      <c r="A15" s="5" t="s">
        <v>40</v>
      </c>
      <c r="B15" s="6">
        <v>102080</v>
      </c>
      <c r="C15" s="6">
        <v>101693</v>
      </c>
      <c r="D15" s="6"/>
      <c r="E15" s="6"/>
      <c r="F15" s="6">
        <v>99885.88</v>
      </c>
      <c r="G15" s="6">
        <v>99798</v>
      </c>
      <c r="H15" s="6"/>
      <c r="I15" s="6"/>
      <c r="J15" s="6"/>
      <c r="K15" s="6"/>
      <c r="L15" s="6"/>
      <c r="M15" s="6"/>
      <c r="N15" s="15"/>
    </row>
    <row r="16" spans="1:14" ht="20.5" customHeight="1">
      <c r="A16" s="8" t="s">
        <v>12</v>
      </c>
      <c r="B16" s="9">
        <f t="shared" ref="B16:M16" si="0">SUM(B2:B15)</f>
        <v>1846341.17</v>
      </c>
      <c r="C16" s="9">
        <f t="shared" si="0"/>
        <v>1896189.8</v>
      </c>
      <c r="D16" s="9">
        <f t="shared" si="0"/>
        <v>1000000</v>
      </c>
      <c r="E16" s="9">
        <f t="shared" si="0"/>
        <v>1000000</v>
      </c>
      <c r="F16" s="9">
        <f t="shared" si="0"/>
        <v>2202197.29</v>
      </c>
      <c r="G16" s="9">
        <f>SUM(G2:G15)</f>
        <v>2204893.4699999997</v>
      </c>
      <c r="H16" s="9">
        <f t="shared" si="0"/>
        <v>1000000</v>
      </c>
      <c r="I16" s="9">
        <f t="shared" si="0"/>
        <v>1000000</v>
      </c>
      <c r="J16" s="9">
        <f t="shared" si="0"/>
        <v>1000000</v>
      </c>
      <c r="K16" s="9">
        <f t="shared" si="0"/>
        <v>1000000</v>
      </c>
      <c r="L16" s="9">
        <f t="shared" si="0"/>
        <v>1000000</v>
      </c>
      <c r="M16" s="9">
        <f t="shared" si="0"/>
        <v>1000000</v>
      </c>
      <c r="N16" s="15"/>
    </row>
    <row r="17" spans="1:14" ht="20.5" customHeight="1">
      <c r="A17" s="5" t="s">
        <v>14</v>
      </c>
      <c r="B17" s="6">
        <v>135584</v>
      </c>
      <c r="C17" s="6">
        <v>135731</v>
      </c>
      <c r="D17" s="6"/>
      <c r="E17" s="6"/>
      <c r="F17" s="6">
        <v>136319</v>
      </c>
      <c r="G17" s="6">
        <v>136319</v>
      </c>
      <c r="H17" s="6"/>
      <c r="I17" s="6"/>
      <c r="J17" s="6"/>
      <c r="K17" s="6"/>
      <c r="L17" s="6"/>
      <c r="M17" s="6"/>
      <c r="N17" s="15"/>
    </row>
    <row r="18" spans="1:14" ht="20.5" customHeight="1">
      <c r="A18" s="5" t="s">
        <v>28</v>
      </c>
      <c r="B18" s="6">
        <v>133109</v>
      </c>
      <c r="C18" s="6">
        <v>136839</v>
      </c>
      <c r="D18" s="6"/>
      <c r="E18" s="6"/>
      <c r="F18" s="6">
        <v>151759</v>
      </c>
      <c r="G18" s="6">
        <v>151759</v>
      </c>
      <c r="H18" s="6"/>
      <c r="I18" s="6"/>
      <c r="J18" s="6"/>
      <c r="K18" s="6"/>
      <c r="L18" s="6"/>
      <c r="M18" s="6"/>
      <c r="N18" s="15"/>
    </row>
    <row r="19" spans="1:14" ht="20.5" customHeight="1">
      <c r="A19" s="5" t="s">
        <v>29</v>
      </c>
      <c r="B19" s="6">
        <v>22604</v>
      </c>
      <c r="C19" s="6">
        <v>22907</v>
      </c>
      <c r="D19" s="7"/>
      <c r="E19" s="7"/>
      <c r="F19" s="7">
        <v>22810</v>
      </c>
      <c r="G19" s="7">
        <v>22345</v>
      </c>
      <c r="H19" s="7"/>
      <c r="I19" s="7"/>
      <c r="J19" s="7"/>
      <c r="K19" s="7"/>
      <c r="L19" s="7"/>
      <c r="M19" s="7"/>
      <c r="N19" s="15"/>
    </row>
    <row r="20" spans="1:14" ht="20.5" customHeight="1">
      <c r="A20" s="10" t="s">
        <v>12</v>
      </c>
      <c r="B20" s="11">
        <f>SUM(B17:B19)</f>
        <v>291297</v>
      </c>
      <c r="C20" s="11">
        <f t="shared" ref="C20:M20" si="1">SUM(C17:C19)</f>
        <v>295477</v>
      </c>
      <c r="D20" s="11">
        <f t="shared" si="1"/>
        <v>0</v>
      </c>
      <c r="E20" s="11">
        <f t="shared" si="1"/>
        <v>0</v>
      </c>
      <c r="F20" s="11">
        <f>SUM(F17:F19)</f>
        <v>310888</v>
      </c>
      <c r="G20" s="11">
        <f t="shared" si="1"/>
        <v>310423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1">
        <f t="shared" si="1"/>
        <v>0</v>
      </c>
      <c r="M20" s="11">
        <f t="shared" si="1"/>
        <v>0</v>
      </c>
      <c r="N20" s="15"/>
    </row>
    <row r="21" spans="1:14" ht="20.5" customHeight="1">
      <c r="A21" s="5" t="s">
        <v>15</v>
      </c>
      <c r="B21" s="7"/>
      <c r="C21" s="7"/>
      <c r="D21" s="7"/>
      <c r="E21" s="7"/>
      <c r="F21" s="7" t="s">
        <v>43</v>
      </c>
      <c r="G21" s="7"/>
      <c r="H21" s="7"/>
      <c r="I21" s="7"/>
      <c r="J21" s="7"/>
      <c r="K21" s="7"/>
      <c r="L21" s="7"/>
      <c r="M21" s="7"/>
      <c r="N21" s="15"/>
    </row>
    <row r="22" spans="1:14" ht="20.5" customHeight="1">
      <c r="A22" s="5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5"/>
    </row>
    <row r="23" spans="1:14" ht="20.5" customHeight="1">
      <c r="A23" s="8" t="s">
        <v>17</v>
      </c>
      <c r="B23" s="9">
        <f>SUM(B21:B22)</f>
        <v>0</v>
      </c>
      <c r="C23" s="9">
        <f t="shared" ref="C23:M23" si="2">SUM(C21:C22)</f>
        <v>0</v>
      </c>
      <c r="D23" s="9">
        <f>SUM(D21:D22)</f>
        <v>0</v>
      </c>
      <c r="E23" s="9">
        <f t="shared" si="2"/>
        <v>0</v>
      </c>
      <c r="F23" s="9">
        <f t="shared" si="2"/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15"/>
    </row>
    <row r="24" spans="1:14" ht="19.899999999999999" customHeight="1">
      <c r="A24" s="12" t="s">
        <v>18</v>
      </c>
      <c r="B24" s="13">
        <f>SUM(B16,B20)</f>
        <v>2137638.17</v>
      </c>
      <c r="C24" s="13">
        <f t="shared" ref="C24:M24" si="3">SUM(C16,C20)</f>
        <v>2191666.7999999998</v>
      </c>
      <c r="D24" s="13">
        <f t="shared" si="3"/>
        <v>1000000</v>
      </c>
      <c r="E24" s="13">
        <f t="shared" si="3"/>
        <v>1000000</v>
      </c>
      <c r="F24" s="13">
        <f t="shared" si="3"/>
        <v>2513085.29</v>
      </c>
      <c r="G24" s="13">
        <f t="shared" si="3"/>
        <v>2515316.4699999997</v>
      </c>
      <c r="H24" s="13">
        <f t="shared" si="3"/>
        <v>1000000</v>
      </c>
      <c r="I24" s="13">
        <f t="shared" si="3"/>
        <v>1000000</v>
      </c>
      <c r="J24" s="13">
        <f t="shared" si="3"/>
        <v>1000000</v>
      </c>
      <c r="K24" s="13">
        <f t="shared" si="3"/>
        <v>1000000</v>
      </c>
      <c r="L24" s="13">
        <f t="shared" si="3"/>
        <v>1000000</v>
      </c>
      <c r="M24" s="13">
        <f t="shared" si="3"/>
        <v>1000000</v>
      </c>
      <c r="N24" s="15"/>
    </row>
    <row r="25" spans="1:14" ht="19.899999999999999" customHeight="1">
      <c r="A25" s="12" t="s">
        <v>19</v>
      </c>
      <c r="B25" s="13">
        <f>B24-B23</f>
        <v>2137638.17</v>
      </c>
      <c r="C25" s="13">
        <f t="shared" ref="C25:M25" si="4">C24-C23</f>
        <v>2191666.7999999998</v>
      </c>
      <c r="D25" s="13">
        <f t="shared" si="4"/>
        <v>1000000</v>
      </c>
      <c r="E25" s="13">
        <f t="shared" si="4"/>
        <v>1000000</v>
      </c>
      <c r="F25" s="13">
        <f t="shared" si="4"/>
        <v>2513085.29</v>
      </c>
      <c r="G25" s="13">
        <f t="shared" si="4"/>
        <v>2515316.4699999997</v>
      </c>
      <c r="H25" s="13">
        <f t="shared" si="4"/>
        <v>1000000</v>
      </c>
      <c r="I25" s="13">
        <f t="shared" si="4"/>
        <v>1000000</v>
      </c>
      <c r="J25" s="13">
        <f t="shared" si="4"/>
        <v>1000000</v>
      </c>
      <c r="K25" s="13">
        <f t="shared" si="4"/>
        <v>1000000</v>
      </c>
      <c r="L25" s="13">
        <f t="shared" si="4"/>
        <v>1000000</v>
      </c>
      <c r="M25" s="13">
        <f t="shared" si="4"/>
        <v>1000000</v>
      </c>
      <c r="N25" s="15"/>
    </row>
  </sheetData>
  <phoneticPr fontId="11" type="noConversion"/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947B-38BB-441F-B79C-A801363F66C9}">
  <sheetPr>
    <pageSetUpPr fitToPage="1"/>
  </sheetPr>
  <dimension ref="A1:N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K17" sqref="K17"/>
    </sheetView>
  </sheetViews>
  <sheetFormatPr defaultColWidth="16.36328125" defaultRowHeight="19.899999999999999" customHeight="1"/>
  <cols>
    <col min="1" max="1" width="14.453125" style="1" customWidth="1"/>
    <col min="2" max="13" width="9.36328125" style="1" customWidth="1"/>
    <col min="14" max="14" width="16.36328125" style="1" customWidth="1"/>
    <col min="15" max="16384" width="16.36328125" style="1"/>
  </cols>
  <sheetData>
    <row r="1" spans="1:14" ht="21.65" customHeight="1">
      <c r="A1" s="3" t="s">
        <v>30</v>
      </c>
      <c r="B1" s="4">
        <v>2026.1</v>
      </c>
      <c r="C1" s="4">
        <v>2026.2</v>
      </c>
      <c r="D1" s="4">
        <v>2026.3</v>
      </c>
      <c r="E1" s="4">
        <v>2026.4</v>
      </c>
      <c r="F1" s="4">
        <v>2026.5</v>
      </c>
      <c r="G1" s="4">
        <v>2026.6</v>
      </c>
      <c r="H1" s="4">
        <v>2026.7</v>
      </c>
      <c r="I1" s="4">
        <v>2026.8</v>
      </c>
      <c r="J1" s="4">
        <v>2026.9</v>
      </c>
      <c r="K1" s="14">
        <v>2026.1</v>
      </c>
      <c r="L1" s="4">
        <v>2026.11</v>
      </c>
      <c r="M1" s="4">
        <v>2026.12</v>
      </c>
    </row>
    <row r="2" spans="1:14" ht="20.5" customHeight="1">
      <c r="A2" s="35" t="s">
        <v>41</v>
      </c>
      <c r="B2" s="6">
        <f>490768*7</f>
        <v>3435376</v>
      </c>
      <c r="C2" s="6">
        <f>592893*7</f>
        <v>4150251</v>
      </c>
      <c r="D2" s="6"/>
      <c r="E2" s="6"/>
      <c r="F2" s="6">
        <f>602516*7</f>
        <v>4217612</v>
      </c>
      <c r="G2" s="6">
        <f>708815*6.7838</f>
        <v>4808459.1970000006</v>
      </c>
      <c r="H2" s="6"/>
      <c r="I2" s="6"/>
      <c r="J2" s="6"/>
      <c r="K2" s="6"/>
      <c r="L2" s="6"/>
      <c r="M2" s="6"/>
      <c r="N2" s="15"/>
    </row>
    <row r="3" spans="1:14" ht="20.5" customHeight="1">
      <c r="A3" s="5" t="s">
        <v>31</v>
      </c>
      <c r="B3" s="6">
        <f>155000+43677+1565+1234+307</f>
        <v>201783</v>
      </c>
      <c r="C3" s="6">
        <f>396647+1521+1154+304+198050</f>
        <v>597676</v>
      </c>
      <c r="D3" s="7"/>
      <c r="E3" s="7"/>
      <c r="F3" s="7">
        <v>626003</v>
      </c>
      <c r="G3" s="7">
        <f>58877.21+476635.39</f>
        <v>535512.6</v>
      </c>
      <c r="H3" s="7"/>
      <c r="I3" s="7"/>
      <c r="J3" s="7"/>
      <c r="K3" s="7"/>
      <c r="L3" s="7"/>
      <c r="M3" s="7"/>
      <c r="N3" s="15"/>
    </row>
    <row r="4" spans="1:14" ht="20.5" customHeight="1">
      <c r="A4" s="5" t="s">
        <v>32</v>
      </c>
      <c r="B4" s="6">
        <v>3750</v>
      </c>
      <c r="C4" s="6">
        <v>3883</v>
      </c>
      <c r="D4" s="6"/>
      <c r="E4" s="6"/>
      <c r="F4" s="6">
        <f>15023+3705</f>
        <v>18728</v>
      </c>
      <c r="G4" s="6">
        <f>3499.22+33235</f>
        <v>36734.22</v>
      </c>
      <c r="H4" s="6"/>
      <c r="I4" s="6"/>
      <c r="J4" s="6"/>
      <c r="K4" s="6"/>
      <c r="L4" s="6"/>
      <c r="M4" s="6"/>
      <c r="N4" s="15"/>
    </row>
    <row r="5" spans="1:14" ht="20.5" customHeight="1">
      <c r="A5" s="8" t="s">
        <v>12</v>
      </c>
      <c r="B5" s="9">
        <f>SUM(B2:B4)</f>
        <v>3640909</v>
      </c>
      <c r="C5" s="9">
        <f t="shared" ref="C5:M5" si="0">SUM(C2:C4)</f>
        <v>4751810</v>
      </c>
      <c r="D5" s="9">
        <f t="shared" si="0"/>
        <v>0</v>
      </c>
      <c r="E5" s="9">
        <f t="shared" si="0"/>
        <v>0</v>
      </c>
      <c r="F5" s="9">
        <f t="shared" si="0"/>
        <v>4862343</v>
      </c>
      <c r="G5" s="9">
        <f t="shared" si="0"/>
        <v>5380706.017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N5" s="15"/>
    </row>
    <row r="6" spans="1:14" ht="20.5" customHeight="1">
      <c r="A6" s="5" t="s">
        <v>14</v>
      </c>
      <c r="B6" s="6">
        <f>33429+58692+45931</f>
        <v>138052</v>
      </c>
      <c r="C6" s="6">
        <f>33429+58692+64303</f>
        <v>156424</v>
      </c>
      <c r="D6" s="6"/>
      <c r="E6" s="6"/>
      <c r="F6" s="6">
        <f>23429+58692+35826</f>
        <v>117947</v>
      </c>
      <c r="G6" s="6">
        <f>13429+58692+21128</f>
        <v>93249</v>
      </c>
      <c r="H6" s="6"/>
      <c r="I6" s="6"/>
      <c r="J6" s="6"/>
      <c r="K6" s="6"/>
      <c r="L6" s="6"/>
      <c r="M6" s="6"/>
      <c r="N6" s="15"/>
    </row>
    <row r="7" spans="1:14" ht="20.5" customHeight="1">
      <c r="A7" s="5" t="s">
        <v>33</v>
      </c>
      <c r="B7" s="6">
        <v>23696</v>
      </c>
      <c r="C7" s="6">
        <v>24185</v>
      </c>
      <c r="D7" s="6"/>
      <c r="E7" s="6"/>
      <c r="F7" s="6">
        <v>23538</v>
      </c>
      <c r="G7" s="6">
        <v>23452</v>
      </c>
      <c r="H7" s="6"/>
      <c r="I7" s="6"/>
      <c r="J7" s="6"/>
      <c r="K7" s="6"/>
      <c r="L7" s="6"/>
      <c r="M7" s="6"/>
      <c r="N7" s="15"/>
    </row>
    <row r="8" spans="1:14" ht="20.5" customHeight="1">
      <c r="A8" s="10" t="s">
        <v>12</v>
      </c>
      <c r="B8" s="11">
        <f>SUM(B6:B7)</f>
        <v>161748</v>
      </c>
      <c r="C8" s="11">
        <f>SUM(C6:C7)</f>
        <v>180609</v>
      </c>
      <c r="D8" s="11">
        <f t="shared" ref="D8:M8" si="1">SUM(D6:D7)</f>
        <v>0</v>
      </c>
      <c r="E8" s="11">
        <f t="shared" si="1"/>
        <v>0</v>
      </c>
      <c r="F8" s="11">
        <f t="shared" si="1"/>
        <v>141485</v>
      </c>
      <c r="G8" s="11">
        <f t="shared" si="1"/>
        <v>116701</v>
      </c>
      <c r="H8" s="11">
        <f t="shared" si="1"/>
        <v>0</v>
      </c>
      <c r="I8" s="11">
        <f t="shared" si="1"/>
        <v>0</v>
      </c>
      <c r="J8" s="11">
        <f t="shared" si="1"/>
        <v>0</v>
      </c>
      <c r="K8" s="11">
        <f t="shared" si="1"/>
        <v>0</v>
      </c>
      <c r="L8" s="11">
        <f t="shared" si="1"/>
        <v>0</v>
      </c>
      <c r="M8" s="11">
        <f t="shared" si="1"/>
        <v>0</v>
      </c>
      <c r="N8" s="15"/>
    </row>
    <row r="9" spans="1:14" ht="20.5" customHeight="1">
      <c r="A9" s="5" t="s">
        <v>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5"/>
    </row>
    <row r="10" spans="1:14" ht="20.5" customHeight="1">
      <c r="A10" s="5" t="s">
        <v>16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5"/>
    </row>
    <row r="11" spans="1:14" ht="20.5" customHeight="1">
      <c r="A11" s="8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5"/>
    </row>
    <row r="12" spans="1:14" ht="20.5" customHeight="1">
      <c r="A12" s="12" t="s">
        <v>18</v>
      </c>
      <c r="B12" s="13">
        <f>B8+B5</f>
        <v>3802657</v>
      </c>
      <c r="C12" s="13">
        <f t="shared" ref="C12:M12" si="2">C8+C5</f>
        <v>4932419</v>
      </c>
      <c r="D12" s="13">
        <f t="shared" si="2"/>
        <v>0</v>
      </c>
      <c r="E12" s="13">
        <f t="shared" si="2"/>
        <v>0</v>
      </c>
      <c r="F12" s="13">
        <f t="shared" si="2"/>
        <v>5003828</v>
      </c>
      <c r="G12" s="13">
        <f t="shared" si="2"/>
        <v>5497407.017</v>
      </c>
      <c r="H12" s="13">
        <f t="shared" si="2"/>
        <v>0</v>
      </c>
      <c r="I12" s="13">
        <f t="shared" si="2"/>
        <v>0</v>
      </c>
      <c r="J12" s="13">
        <f t="shared" si="2"/>
        <v>0</v>
      </c>
      <c r="K12" s="13">
        <f t="shared" si="2"/>
        <v>0</v>
      </c>
      <c r="L12" s="13">
        <f t="shared" si="2"/>
        <v>0</v>
      </c>
      <c r="M12" s="13">
        <f t="shared" si="2"/>
        <v>0</v>
      </c>
      <c r="N12" s="15"/>
    </row>
    <row r="13" spans="1:14" ht="20.5" customHeight="1">
      <c r="A13" s="12" t="s">
        <v>19</v>
      </c>
      <c r="B13" s="13">
        <f>B12-B11</f>
        <v>3802657</v>
      </c>
      <c r="C13" s="13">
        <f t="shared" ref="C13:M13" si="3">C12-C11</f>
        <v>4932419</v>
      </c>
      <c r="D13" s="13">
        <f t="shared" si="3"/>
        <v>0</v>
      </c>
      <c r="E13" s="13">
        <f t="shared" si="3"/>
        <v>0</v>
      </c>
      <c r="F13" s="13">
        <f t="shared" si="3"/>
        <v>5003828</v>
      </c>
      <c r="G13" s="13">
        <f t="shared" si="3"/>
        <v>5497407.017</v>
      </c>
      <c r="H13" s="13">
        <f t="shared" si="3"/>
        <v>0</v>
      </c>
      <c r="I13" s="13">
        <f t="shared" si="3"/>
        <v>0</v>
      </c>
      <c r="J13" s="13">
        <f t="shared" si="3"/>
        <v>0</v>
      </c>
      <c r="K13" s="13">
        <f t="shared" si="3"/>
        <v>0</v>
      </c>
      <c r="L13" s="13">
        <f t="shared" si="3"/>
        <v>0</v>
      </c>
      <c r="M13" s="13">
        <f t="shared" si="3"/>
        <v>0</v>
      </c>
      <c r="N13" s="15"/>
    </row>
  </sheetData>
  <phoneticPr fontId="10" type="noConversion"/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1、收入结余表</vt:lpstr>
      <vt:lpstr>2、存量资产-y</vt:lpstr>
      <vt:lpstr>3、存量资产-k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ljyang</dc:creator>
  <cp:lastModifiedBy>D.K. Wang</cp:lastModifiedBy>
  <dcterms:created xsi:type="dcterms:W3CDTF">2024-04-03T06:13:00Z</dcterms:created>
  <dcterms:modified xsi:type="dcterms:W3CDTF">2026-06-20T03:59:18Z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45FA2A608770B8C465CF0E66ED39E6C4_42</vt:lpwstr>
  </property>
  <property fmtid="{D5CDD505-2E9C-101B-9397-08002B2CF9AE}" pid="3" name="KSOProductBuildVer">
    <vt:lpwstr>2052-6.5.2.8766</vt:lpwstr>
  </property>
</Properties>
</file>